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hu\Treball_Mineria_de_Dades\0_Bases_de_dades\"/>
    </mc:Choice>
  </mc:AlternateContent>
  <xr:revisionPtr revIDLastSave="0" documentId="13_ncr:1_{F2B2186B-BBFA-4ED1-8B5B-EA2DEA86812D}" xr6:coauthVersionLast="47" xr6:coauthVersionMax="47" xr10:uidLastSave="{00000000-0000-0000-0000-000000000000}"/>
  <bookViews>
    <workbookView xWindow="-28920" yWindow="-1950" windowWidth="29040" windowHeight="16440" xr2:uid="{94D27AB6-784D-4CCC-9700-936FE99DBBAA}"/>
  </bookViews>
  <sheets>
    <sheet name="Sheet1" sheetId="1" r:id="rId1"/>
  </sheets>
  <definedNames>
    <definedName name="_xlnm._FilterDatabase" localSheetId="0" hidden="1">Sheet1!$A$1:$G$24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<sst xmlns="http://schemas.openxmlformats.org/spreadsheetml/2006/main" count="108" uniqueCount="76">
  <si>
    <t>Variable</t>
  </si>
  <si>
    <t>HasCrCard</t>
  </si>
  <si>
    <t>EducationLevel</t>
  </si>
  <si>
    <t>Geography</t>
  </si>
  <si>
    <t>AvgTransactionAmount</t>
  </si>
  <si>
    <t>Balance</t>
  </si>
  <si>
    <t>SavingsAccountFlag</t>
  </si>
  <si>
    <t>NetPromoterScore</t>
  </si>
  <si>
    <t>Tenure</t>
  </si>
  <si>
    <t>Gender</t>
  </si>
  <si>
    <t>NumOfProducts</t>
  </si>
  <si>
    <t>TransactionFrequency</t>
  </si>
  <si>
    <t>CustomerSegment</t>
  </si>
  <si>
    <t>LoanStatus</t>
  </si>
  <si>
    <t>DigitalEngagementScore</t>
  </si>
  <si>
    <t>ComplaintsCount</t>
  </si>
  <si>
    <t>CreditScore</t>
  </si>
  <si>
    <t>Surname</t>
  </si>
  <si>
    <t>EstimatedSalary</t>
  </si>
  <si>
    <t>IsActiveMember</t>
  </si>
  <si>
    <t>MaritalStatus</t>
  </si>
  <si>
    <t>Age</t>
  </si>
  <si>
    <t>ID</t>
  </si>
  <si>
    <t>Tipus</t>
  </si>
  <si>
    <t>Rang</t>
  </si>
  <si>
    <t>Descripció</t>
  </si>
  <si>
    <t>Kruskal - Wallis 
Test categòriques</t>
  </si>
  <si>
    <t>Identificador</t>
  </si>
  <si>
    <t>-</t>
  </si>
  <si>
    <t>Edat del client</t>
  </si>
  <si>
    <t>Situació marital del client</t>
  </si>
  <si>
    <t>Indica si el client és actiu</t>
  </si>
  <si>
    <t>Sou estimat del client</t>
  </si>
  <si>
    <t>Cognom del client</t>
  </si>
  <si>
    <t>Recompte de les queixes del client</t>
  </si>
  <si>
    <t>Indica si el client te un prèstec</t>
  </si>
  <si>
    <t>Indica quants productes te contractats</t>
  </si>
  <si>
    <t>Gènere del client</t>
  </si>
  <si>
    <t>Indica si te compte d'estalvis</t>
  </si>
  <si>
    <t>Indica el balanç del compte</t>
  </si>
  <si>
    <t>Promig de les transaccións del client</t>
  </si>
  <si>
    <t>País d'on és el client</t>
  </si>
  <si>
    <t>Nivell educatiu del client</t>
  </si>
  <si>
    <t>Indica si el client te tarjeta de crèdit</t>
  </si>
  <si>
    <t>Exited</t>
  </si>
  <si>
    <t>Indica si el client ha abandonat el banc o no</t>
  </si>
  <si>
    <t>Significativa 
Logit</t>
  </si>
  <si>
    <t>Detectada 
Lasso</t>
  </si>
  <si>
    <t>Numèrica</t>
  </si>
  <si>
    <t>Categòrica</t>
  </si>
  <si>
    <t>Binària</t>
  </si>
  <si>
    <t>Binària. Variable resposta</t>
  </si>
  <si>
    <t>Puntuació per rebre crèdit</t>
  </si>
  <si>
    <t>Índex d'ús digital</t>
  </si>
  <si>
    <t xml:space="preserve">Clasificació del client segons </t>
  </si>
  <si>
    <t>Transaccions mensuals</t>
  </si>
  <si>
    <t>Anys com a client</t>
  </si>
  <si>
    <t>Satisfacció del client</t>
  </si>
  <si>
    <t>Male - Female</t>
  </si>
  <si>
    <t>0 (no) - 1 (si)</t>
  </si>
  <si>
    <t>Espanya - França - Alemanya</t>
  </si>
  <si>
    <t>[18 - 92]</t>
  </si>
  <si>
    <t>Divorced, Married, Single, Widowed</t>
  </si>
  <si>
    <t>Més de 4820 cognoms</t>
  </si>
  <si>
    <t>[350 - 850]</t>
  </si>
  <si>
    <t>[0-5]</t>
  </si>
  <si>
    <t>[0-100]</t>
  </si>
  <si>
    <t>Active loan, Default risk, No loan</t>
  </si>
  <si>
    <t>[0-10]</t>
  </si>
  <si>
    <t>[11,58 - 199862,75]</t>
  </si>
  <si>
    <t>Affluent, High Net Worth, Mass Market</t>
  </si>
  <si>
    <t>[1 - 4]</t>
  </si>
  <si>
    <t>High School, University, Postgraduate, Other</t>
  </si>
  <si>
    <t>[19,60 - 581,79]</t>
  </si>
  <si>
    <t>[13 - 52]</t>
  </si>
  <si>
    <t>Association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</si>
</sst>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387B-722B-4167-90B8-9E63639B16D1}">
  <dimension ref="A1:I24"/>
  <sheetViews>
    <sheetView tabSelected="1" zoomScale="130" zoomScaleNormal="130" workbookViewId="0">
      <pane xSplit="1" topLeftCell="B1" activePane="topRight" state="frozen"/>
      <selection pane="topRight" activeCell="G10" sqref="G10"/>
    </sheetView>
  </sheetViews>
  <sheetFormatPr defaultRowHeight="14.4" x14ac:dyDescent="0.3"/>
  <cols>
    <col min="1" max="1" width="21.5546875" customWidth="1"/>
    <col min="2" max="2" width="33.33203125" customWidth="1"/>
    <col min="3" max="3" width="15.21875" customWidth="1"/>
    <col min="4" max="4" width="24" customWidth="1"/>
    <col min="5" max="7" width="14.88671875" customWidth="1"/>
    <col min="8" max="8" width="12" customWidth="1"/>
  </cols>
  <sheetData>
    <row r="1" spans="1:9" ht="43.2" x14ac:dyDescent="0.3">
      <c r="A1" s="2" t="s">
        <v>0</v>
      </c>
      <c r="B1" s="2" t="s">
        <v>25</v>
      </c>
      <c r="C1" s="2" t="s">
        <v>23</v>
      </c>
      <c r="D1" s="2" t="s">
        <v>24</v>
      </c>
      <c r="E1" s="4" t="s">
        <v>26</v>
      </c>
      <c r="F1" s="4" t="s">
        <v>46</v>
      </c>
      <c r="G1" s="4" t="s">
        <v>47</v>
      </c>
      <c r="H1" s="4" t="s">
        <v>75</v>
      </c>
      <c r="I1">
        <v>3</v>
      </c>
    </row>
    <row r="2" spans="1:9" x14ac:dyDescent="0.3">
      <c r="A2" s="3" t="s">
        <v>22</v>
      </c>
      <c r="B2" t="s">
        <v>27</v>
      </c>
      <c r="C2" t="s">
        <v>28</v>
      </c>
      <c r="D2" s="1" t="s">
        <v>28</v>
      </c>
      <c r="E2" s="5" t="s">
        <v>28</v>
      </c>
      <c r="F2" s="5" t="s">
        <v>28</v>
      </c>
      <c r="G2" s="5" t="s">
        <v>28</v>
      </c>
      <c r="H2" s="5" t="s">
        <v>28</v>
      </c>
    </row>
    <row r="3" spans="1:9" x14ac:dyDescent="0.3">
      <c r="A3" s="3" t="s">
        <v>21</v>
      </c>
      <c r="B3" t="s">
        <v>29</v>
      </c>
      <c r="C3" t="s">
        <v>48</v>
      </c>
      <c r="D3" s="1" t="s">
        <v>61</v>
      </c>
      <c r="E3" s="6">
        <v>0</v>
      </c>
      <c r="F3" s="6">
        <v>1</v>
      </c>
      <c r="G3" s="6">
        <v>1</v>
      </c>
      <c r="H3" s="6">
        <v>1</v>
      </c>
      <c r="I3" t="str">
        <f>IF(SUM(E3:H3)&gt;=$I$1,"ENTRA","Irrellevant")</f>
        <v>ENTRA</v>
      </c>
    </row>
    <row r="4" spans="1:9" ht="30.6" customHeight="1" x14ac:dyDescent="0.3">
      <c r="A4" s="3" t="s">
        <v>20</v>
      </c>
      <c r="B4" t="s">
        <v>30</v>
      </c>
      <c r="C4" t="s">
        <v>49</v>
      </c>
      <c r="D4" s="1" t="s">
        <v>62</v>
      </c>
      <c r="E4" s="6">
        <v>1</v>
      </c>
      <c r="F4" s="6">
        <v>0</v>
      </c>
      <c r="G4" s="6">
        <v>1</v>
      </c>
      <c r="H4" s="6">
        <v>1</v>
      </c>
      <c r="I4" t="str">
        <f t="shared" ref="I4:I23" si="0">IF(SUM(E4:H4)&gt;=$I$1,"ENTRA","Irrellevant")</f>
        <v>ENTRA</v>
      </c>
    </row>
    <row r="5" spans="1:9" x14ac:dyDescent="0.3">
      <c r="A5" s="3" t="s">
        <v>19</v>
      </c>
      <c r="B5" t="s">
        <v>31</v>
      </c>
      <c r="C5" t="s">
        <v>50</v>
      </c>
      <c r="D5" s="1" t="s">
        <v>59</v>
      </c>
      <c r="E5" s="6">
        <v>0</v>
      </c>
      <c r="F5" s="6">
        <v>1</v>
      </c>
      <c r="G5" s="6">
        <v>1</v>
      </c>
      <c r="H5" s="6">
        <v>1</v>
      </c>
      <c r="I5" t="str">
        <f t="shared" si="0"/>
        <v>ENTRA</v>
      </c>
    </row>
    <row r="6" spans="1:9" ht="20.399999999999999" customHeight="1" x14ac:dyDescent="0.3">
      <c r="A6" s="3" t="s">
        <v>18</v>
      </c>
      <c r="B6" t="s">
        <v>32</v>
      </c>
      <c r="C6" t="s">
        <v>48</v>
      </c>
      <c r="D6" s="1" t="s">
        <v>69</v>
      </c>
      <c r="E6" s="6">
        <v>1</v>
      </c>
      <c r="F6" s="6">
        <v>0</v>
      </c>
      <c r="G6" s="6">
        <v>1</v>
      </c>
      <c r="H6" s="6">
        <v>0</v>
      </c>
      <c r="I6" t="str">
        <f t="shared" si="0"/>
        <v>Irrellevant</v>
      </c>
    </row>
    <row r="7" spans="1:9" ht="18" customHeight="1" x14ac:dyDescent="0.3">
      <c r="A7" s="3" t="s">
        <v>17</v>
      </c>
      <c r="B7" t="s">
        <v>33</v>
      </c>
      <c r="C7" t="s">
        <v>49</v>
      </c>
      <c r="D7" s="1" t="s">
        <v>63</v>
      </c>
      <c r="E7" s="6">
        <v>0</v>
      </c>
      <c r="F7" s="6">
        <v>0</v>
      </c>
      <c r="G7" s="6">
        <v>0</v>
      </c>
      <c r="H7" s="6">
        <v>0</v>
      </c>
      <c r="I7" t="str">
        <f t="shared" si="0"/>
        <v>Irrellevant</v>
      </c>
    </row>
    <row r="8" spans="1:9" x14ac:dyDescent="0.3">
      <c r="A8" s="3" t="s">
        <v>16</v>
      </c>
      <c r="B8" t="s">
        <v>52</v>
      </c>
      <c r="C8" t="s">
        <v>48</v>
      </c>
      <c r="D8" s="1" t="s">
        <v>64</v>
      </c>
      <c r="E8" s="6">
        <v>0</v>
      </c>
      <c r="F8" s="6">
        <v>0</v>
      </c>
      <c r="G8" s="6">
        <v>1</v>
      </c>
      <c r="H8" s="6">
        <v>1</v>
      </c>
      <c r="I8" t="str">
        <f t="shared" si="0"/>
        <v>Irrellevant</v>
      </c>
    </row>
    <row r="9" spans="1:9" x14ac:dyDescent="0.3">
      <c r="A9" s="3" t="s">
        <v>15</v>
      </c>
      <c r="B9" t="s">
        <v>34</v>
      </c>
      <c r="C9" t="s">
        <v>48</v>
      </c>
      <c r="D9" s="1" t="s">
        <v>65</v>
      </c>
      <c r="E9" s="6">
        <v>0</v>
      </c>
      <c r="F9" s="6">
        <v>0</v>
      </c>
      <c r="G9" s="6">
        <v>1</v>
      </c>
      <c r="H9" s="6">
        <v>1</v>
      </c>
      <c r="I9" t="str">
        <f t="shared" si="0"/>
        <v>Irrellevant</v>
      </c>
    </row>
    <row r="10" spans="1:9" x14ac:dyDescent="0.3">
      <c r="A10" s="3" t="s">
        <v>14</v>
      </c>
      <c r="B10" t="s">
        <v>53</v>
      </c>
      <c r="C10" t="s">
        <v>48</v>
      </c>
      <c r="D10" s="1" t="s">
        <v>66</v>
      </c>
      <c r="E10" s="6">
        <v>1</v>
      </c>
      <c r="F10" s="6">
        <v>0</v>
      </c>
      <c r="G10" s="6">
        <v>0</v>
      </c>
      <c r="H10" s="6">
        <v>0</v>
      </c>
      <c r="I10" t="str">
        <f t="shared" si="0"/>
        <v>Irrellevant</v>
      </c>
    </row>
    <row r="11" spans="1:9" ht="30" customHeight="1" x14ac:dyDescent="0.3">
      <c r="A11" s="3" t="s">
        <v>13</v>
      </c>
      <c r="B11" t="s">
        <v>35</v>
      </c>
      <c r="C11" t="s">
        <v>49</v>
      </c>
      <c r="D11" s="1" t="s">
        <v>67</v>
      </c>
      <c r="E11" s="6">
        <v>1</v>
      </c>
      <c r="F11" s="6">
        <v>0</v>
      </c>
      <c r="G11" s="6">
        <v>0</v>
      </c>
      <c r="H11" s="6">
        <v>1</v>
      </c>
      <c r="I11" t="str">
        <f t="shared" si="0"/>
        <v>Irrellevant</v>
      </c>
    </row>
    <row r="12" spans="1:9" ht="30.6" customHeight="1" x14ac:dyDescent="0.3">
      <c r="A12" s="3" t="s">
        <v>12</v>
      </c>
      <c r="B12" t="s">
        <v>54</v>
      </c>
      <c r="C12" t="s">
        <v>49</v>
      </c>
      <c r="D12" s="1" t="s">
        <v>70</v>
      </c>
      <c r="E12" s="6">
        <v>1</v>
      </c>
      <c r="F12" s="6">
        <v>0</v>
      </c>
      <c r="G12" s="6">
        <v>0</v>
      </c>
      <c r="H12" s="6">
        <v>0</v>
      </c>
      <c r="I12" t="str">
        <f t="shared" si="0"/>
        <v>Irrellevant</v>
      </c>
    </row>
    <row r="13" spans="1:9" x14ac:dyDescent="0.3">
      <c r="A13" s="3" t="s">
        <v>11</v>
      </c>
      <c r="B13" t="s">
        <v>55</v>
      </c>
      <c r="C13" t="s">
        <v>48</v>
      </c>
      <c r="D13" s="1" t="s">
        <v>74</v>
      </c>
      <c r="E13" s="6">
        <v>1</v>
      </c>
      <c r="F13" s="6">
        <v>0</v>
      </c>
      <c r="G13" s="6">
        <v>0</v>
      </c>
      <c r="H13" s="6">
        <v>1</v>
      </c>
      <c r="I13" t="str">
        <f t="shared" si="0"/>
        <v>Irrellevant</v>
      </c>
    </row>
    <row r="14" spans="1:9" x14ac:dyDescent="0.3">
      <c r="A14" s="3" t="s">
        <v>10</v>
      </c>
      <c r="B14" t="s">
        <v>36</v>
      </c>
      <c r="C14" t="s">
        <v>48</v>
      </c>
      <c r="D14" s="1" t="s">
        <v>71</v>
      </c>
      <c r="E14" s="6">
        <v>0</v>
      </c>
      <c r="F14" s="6">
        <v>1</v>
      </c>
      <c r="G14" s="6">
        <v>1</v>
      </c>
      <c r="H14" s="6">
        <v>1</v>
      </c>
      <c r="I14" t="str">
        <f t="shared" si="0"/>
        <v>ENTRA</v>
      </c>
    </row>
    <row r="15" spans="1:9" x14ac:dyDescent="0.3">
      <c r="A15" s="3" t="s">
        <v>9</v>
      </c>
      <c r="B15" t="s">
        <v>37</v>
      </c>
      <c r="C15" t="s">
        <v>50</v>
      </c>
      <c r="D15" s="1" t="s">
        <v>58</v>
      </c>
      <c r="E15" s="6">
        <v>0</v>
      </c>
      <c r="F15" s="6">
        <v>0</v>
      </c>
      <c r="G15" s="6">
        <v>1</v>
      </c>
      <c r="H15" s="6">
        <v>1</v>
      </c>
      <c r="I15" t="str">
        <f t="shared" si="0"/>
        <v>Irrellevant</v>
      </c>
    </row>
    <row r="16" spans="1:9" x14ac:dyDescent="0.3">
      <c r="A16" s="3" t="s">
        <v>8</v>
      </c>
      <c r="B16" t="s">
        <v>56</v>
      </c>
      <c r="C16" t="s">
        <v>48</v>
      </c>
      <c r="D16" s="1" t="s">
        <v>68</v>
      </c>
      <c r="E16" s="6">
        <v>0</v>
      </c>
      <c r="F16" s="6">
        <v>0</v>
      </c>
      <c r="G16" s="6">
        <v>0</v>
      </c>
      <c r="H16" s="6">
        <v>0</v>
      </c>
      <c r="I16" t="str">
        <f t="shared" si="0"/>
        <v>Irrellevant</v>
      </c>
    </row>
    <row r="17" spans="1:9" x14ac:dyDescent="0.3">
      <c r="A17" s="3" t="s">
        <v>7</v>
      </c>
      <c r="B17" t="s">
        <v>57</v>
      </c>
      <c r="C17" t="s">
        <v>48</v>
      </c>
      <c r="D17" s="1" t="s">
        <v>68</v>
      </c>
      <c r="E17" s="6">
        <v>0</v>
      </c>
      <c r="F17" s="6">
        <v>0</v>
      </c>
      <c r="G17" s="6">
        <v>0</v>
      </c>
      <c r="H17" s="6">
        <v>1</v>
      </c>
      <c r="I17" t="str">
        <f t="shared" si="0"/>
        <v>Irrellevant</v>
      </c>
    </row>
    <row r="18" spans="1:9" x14ac:dyDescent="0.3">
      <c r="A18" s="3" t="s">
        <v>6</v>
      </c>
      <c r="B18" t="s">
        <v>38</v>
      </c>
      <c r="C18" t="s">
        <v>50</v>
      </c>
      <c r="D18" s="1" t="s">
        <v>59</v>
      </c>
      <c r="E18" s="6">
        <v>1</v>
      </c>
      <c r="F18" s="6">
        <v>0</v>
      </c>
      <c r="G18" s="6">
        <v>1</v>
      </c>
      <c r="H18" s="6">
        <v>1</v>
      </c>
      <c r="I18" t="str">
        <f t="shared" si="0"/>
        <v>ENTRA</v>
      </c>
    </row>
    <row r="19" spans="1:9" x14ac:dyDescent="0.3">
      <c r="A19" s="3" t="s">
        <v>5</v>
      </c>
      <c r="B19" t="s">
        <v>39</v>
      </c>
      <c r="C19" t="s">
        <v>48</v>
      </c>
      <c r="D19" s="1" t="s">
        <v>59</v>
      </c>
      <c r="E19" s="6">
        <v>0</v>
      </c>
      <c r="F19" s="6">
        <v>0</v>
      </c>
      <c r="G19" s="6">
        <v>1</v>
      </c>
      <c r="H19" s="6">
        <v>1</v>
      </c>
      <c r="I19" t="str">
        <f t="shared" si="0"/>
        <v>Irrellevant</v>
      </c>
    </row>
    <row r="20" spans="1:9" x14ac:dyDescent="0.3">
      <c r="A20" s="3" t="s">
        <v>4</v>
      </c>
      <c r="B20" t="s">
        <v>40</v>
      </c>
      <c r="C20" t="s">
        <v>48</v>
      </c>
      <c r="D20" s="1" t="s">
        <v>73</v>
      </c>
      <c r="E20" s="6">
        <v>1</v>
      </c>
      <c r="F20" s="6">
        <v>0</v>
      </c>
      <c r="G20" s="6">
        <v>1</v>
      </c>
      <c r="H20" s="6">
        <v>1</v>
      </c>
      <c r="I20" t="str">
        <f t="shared" si="0"/>
        <v>ENTRA</v>
      </c>
    </row>
    <row r="21" spans="1:9" ht="28.8" customHeight="1" x14ac:dyDescent="0.3">
      <c r="A21" s="3" t="s">
        <v>3</v>
      </c>
      <c r="B21" t="s">
        <v>41</v>
      </c>
      <c r="C21" t="s">
        <v>49</v>
      </c>
      <c r="D21" s="1" t="s">
        <v>60</v>
      </c>
      <c r="E21" s="6">
        <v>0</v>
      </c>
      <c r="F21" s="6">
        <v>1</v>
      </c>
      <c r="G21" s="6">
        <v>1</v>
      </c>
      <c r="H21" s="6">
        <v>0</v>
      </c>
      <c r="I21" t="str">
        <f t="shared" si="0"/>
        <v>Irrellevant</v>
      </c>
    </row>
    <row r="22" spans="1:9" ht="32.4" customHeight="1" x14ac:dyDescent="0.3">
      <c r="A22" s="3" t="s">
        <v>2</v>
      </c>
      <c r="B22" t="s">
        <v>42</v>
      </c>
      <c r="C22" t="s">
        <v>49</v>
      </c>
      <c r="D22" s="1" t="s">
        <v>72</v>
      </c>
      <c r="E22" s="6">
        <v>1</v>
      </c>
      <c r="F22" s="6">
        <v>1</v>
      </c>
      <c r="G22" s="6">
        <v>1</v>
      </c>
      <c r="H22" s="6">
        <v>0</v>
      </c>
      <c r="I22" t="str">
        <f t="shared" si="0"/>
        <v>ENTRA</v>
      </c>
    </row>
    <row r="23" spans="1:9" x14ac:dyDescent="0.3">
      <c r="A23" s="3" t="s">
        <v>1</v>
      </c>
      <c r="B23" t="s">
        <v>43</v>
      </c>
      <c r="C23" t="s">
        <v>50</v>
      </c>
      <c r="D23" s="1" t="s">
        <v>59</v>
      </c>
      <c r="E23" s="6">
        <v>1</v>
      </c>
      <c r="F23" s="6">
        <v>0</v>
      </c>
      <c r="G23" s="6">
        <v>1</v>
      </c>
      <c r="H23" s="6">
        <v>0</v>
      </c>
      <c r="I23" t="str">
        <f t="shared" si="0"/>
        <v>Irrellevant</v>
      </c>
    </row>
    <row r="24" spans="1:9" ht="34.200000000000003" customHeight="1" x14ac:dyDescent="0.3">
      <c r="A24" s="3" t="s">
        <v>44</v>
      </c>
      <c r="B24" t="s">
        <v>45</v>
      </c>
      <c r="C24" s="1" t="s">
        <v>51</v>
      </c>
      <c r="D24" s="1" t="s">
        <v>59</v>
      </c>
      <c r="E24" s="5" t="s">
        <v>28</v>
      </c>
      <c r="F24" s="5" t="s">
        <v>28</v>
      </c>
      <c r="G24" s="5" t="s">
        <v>28</v>
      </c>
      <c r="H24" s="5" t="s">
        <v>28</v>
      </c>
    </row>
  </sheetData>
  <autoFilter ref="A1:G24" xr:uid="{B4CB387B-722B-4167-90B8-9E63639B16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Madrid</dc:creator>
  <cp:lastModifiedBy>Hugo Madrid</cp:lastModifiedBy>
  <dcterms:created xsi:type="dcterms:W3CDTF">2025-11-02T17:47:42Z</dcterms:created>
  <dcterms:modified xsi:type="dcterms:W3CDTF">2025-11-02T19:18:09Z</dcterms:modified>
</cp:coreProperties>
</file>